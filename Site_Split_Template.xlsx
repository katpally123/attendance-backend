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D- Metrics" sheetId="1" r:id="rId4"/>
  </sheets>
  <definedNames/>
  <calcPr/>
</workbook>
</file>

<file path=xl/sharedStrings.xml><?xml version="1.0" encoding="utf-8"?>
<sst xmlns="http://schemas.openxmlformats.org/spreadsheetml/2006/main" count="48" uniqueCount="42">
  <si>
    <t>Attendance</t>
  </si>
  <si>
    <t xml:space="preserve">YHM2 - SDC </t>
  </si>
  <si>
    <t>SDC TOTAL</t>
  </si>
  <si>
    <t>YDD2 - IXD</t>
  </si>
  <si>
    <t>IXD TOTAL</t>
  </si>
  <si>
    <t>Attendance Details</t>
  </si>
  <si>
    <t>INBOUND</t>
  </si>
  <si>
    <t>DA</t>
  </si>
  <si>
    <t>ICQA</t>
  </si>
  <si>
    <t>CRETs</t>
  </si>
  <si>
    <t>TOTAL</t>
  </si>
  <si>
    <t>AMZN</t>
  </si>
  <si>
    <t>TEMP</t>
  </si>
  <si>
    <t>Regular HC (Cohort Expected)</t>
  </si>
  <si>
    <t>Regular HC Present (Excluding Swaps)</t>
  </si>
  <si>
    <t xml:space="preserve">Shift Swap Out </t>
  </si>
  <si>
    <t>Shift Swap Expected</t>
  </si>
  <si>
    <t xml:space="preserve">Shift Swap Present </t>
  </si>
  <si>
    <t>Regular Attendance %</t>
  </si>
  <si>
    <t>VTO</t>
  </si>
  <si>
    <t>VET Accepted</t>
  </si>
  <si>
    <t>VET Present</t>
  </si>
  <si>
    <t>Total HC expected incl VET +Shift Swap (excl VTO)</t>
  </si>
  <si>
    <t>Total Showed incl VET + Shift Swap (excl VTO)</t>
  </si>
  <si>
    <t>Total Percentage Showed incl VET &amp; Shift Swap(excl VTO)</t>
  </si>
  <si>
    <t>MET Expected</t>
  </si>
  <si>
    <t>MET Present</t>
  </si>
  <si>
    <t>MET Present %</t>
  </si>
  <si>
    <t>Percentage Present incl MET</t>
  </si>
  <si>
    <t>Total HC expected incl VET &amp; MET &amp; Shift Swap (excl VTO)</t>
  </si>
  <si>
    <t>Total Showed incl VET &amp; MET &amp; Shift Swap (excl VTO)</t>
  </si>
  <si>
    <t>Total Percentage Showed incl VET &amp; MET &amp; Shift Swap (excl VTO)</t>
  </si>
  <si>
    <t>ALPS (Hours)- Show Hours- Forecast</t>
  </si>
  <si>
    <t>ALPS (Show Hours/9.3)</t>
  </si>
  <si>
    <t>ALPS Regular HC %</t>
  </si>
  <si>
    <t>Assumptions %</t>
  </si>
  <si>
    <t>Variance(Assumptions vs Actuals)</t>
  </si>
  <si>
    <t>Total Show Hours (Regular)</t>
  </si>
  <si>
    <t>Variance (Hours)</t>
  </si>
  <si>
    <t>Spotlights</t>
  </si>
  <si>
    <t>Root Cause Corrective Action</t>
  </si>
  <si>
    <t>Total Absences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</si>
</sst>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0"/>
      <name val="Amazon Ember"/>
    </font>
    <font/>
    <font>
      <sz val="10.0"/>
      <color rgb="FF000000"/>
      <name val="Arial"/>
    </font>
    <font>
      <b/>
      <sz val="11.0"/>
      <color theme="1"/>
      <name val="Amazon Ember"/>
    </font>
    <font>
      <sz val="11.0"/>
      <color theme="1"/>
      <name val="Amazon Ember"/>
    </font>
    <font>
      <b/>
      <i/>
      <sz val="11.0"/>
      <color theme="1"/>
      <name val="Calibri"/>
    </font>
    <font>
      <b/>
      <sz val="11.0"/>
      <color rgb="FFFFFFFF"/>
      <name val="Amazon Ember"/>
    </font>
    <font>
      <b/>
      <sz val="11.0"/>
      <color rgb="FF000000"/>
      <name val="Amazon Ember"/>
    </font>
    <font>
      <b/>
      <sz val="11.0"/>
      <color theme="1"/>
      <name val="Calibri"/>
    </font>
    <font>
      <b/>
      <sz val="11.0"/>
      <color rgb="FFFF0000"/>
      <name val="Calibri"/>
    </font>
    <font>
      <sz val="10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7"/>
        <bgColor theme="7"/>
      </patternFill>
    </fill>
    <fill>
      <patternFill patternType="solid">
        <fgColor rgb="FF1F3864"/>
        <bgColor rgb="FF1F3864"/>
      </patternFill>
    </fill>
    <fill>
      <patternFill patternType="solid">
        <fgColor rgb="FF0070C0"/>
        <bgColor rgb="FF0070C0"/>
      </patternFill>
    </fill>
    <fill>
      <patternFill patternType="solid">
        <fgColor rgb="FFBDD6EE"/>
        <bgColor rgb="FFBDD6EE"/>
      </patternFill>
    </fill>
    <fill>
      <patternFill patternType="solid">
        <fgColor theme="8"/>
        <bgColor theme="8"/>
      </patternFill>
    </fill>
    <fill>
      <patternFill patternType="solid">
        <fgColor rgb="FF203764"/>
        <bgColor rgb="FF2037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1" fillId="2" fontId="2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4" fontId="2" numFmtId="0" xfId="0" applyAlignment="1" applyBorder="1" applyFill="1" applyFont="1">
      <alignment horizontal="center" vertical="center"/>
    </xf>
    <xf borderId="7" fillId="3" fontId="5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10" fillId="0" fontId="3" numFmtId="0" xfId="0" applyBorder="1" applyFont="1"/>
    <xf borderId="11" fillId="4" fontId="2" numFmtId="0" xfId="0" applyAlignment="1" applyBorder="1" applyFont="1">
      <alignment horizontal="center" vertical="center"/>
    </xf>
    <xf borderId="12" fillId="4" fontId="2" numFmtId="0" xfId="0" applyAlignment="1" applyBorder="1" applyFont="1">
      <alignment horizontal="center" vertical="center"/>
    </xf>
    <xf borderId="13" fillId="0" fontId="3" numFmtId="0" xfId="0" applyBorder="1" applyFont="1"/>
    <xf borderId="14" fillId="4" fontId="2" numFmtId="0" xfId="0" applyAlignment="1" applyBorder="1" applyFont="1">
      <alignment horizontal="center" vertical="center"/>
    </xf>
    <xf borderId="15" fillId="4" fontId="2" numFmtId="0" xfId="0" applyAlignment="1" applyBorder="1" applyFont="1">
      <alignment horizontal="center" vertical="center"/>
    </xf>
    <xf borderId="16" fillId="0" fontId="3" numFmtId="0" xfId="0" applyBorder="1" applyFont="1"/>
    <xf borderId="8" fillId="4" fontId="2" numFmtId="0" xfId="0" applyAlignment="1" applyBorder="1" applyFont="1">
      <alignment horizontal="center" vertical="center"/>
    </xf>
    <xf borderId="17" fillId="0" fontId="3" numFmtId="0" xfId="0" applyBorder="1" applyFont="1"/>
    <xf borderId="1" fillId="5" fontId="2" numFmtId="9" xfId="0" applyAlignment="1" applyBorder="1" applyFill="1" applyFont="1" applyNumberFormat="1">
      <alignment horizontal="left" vertical="center"/>
    </xf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" fillId="4" fontId="2" numFmtId="9" xfId="0" applyAlignment="1" applyBorder="1" applyFont="1" applyNumberFormat="1">
      <alignment horizontal="left" vertical="center"/>
    </xf>
    <xf borderId="1" fillId="4" fontId="2" numFmtId="10" xfId="0" applyAlignment="1" applyBorder="1" applyFont="1" applyNumberFormat="1">
      <alignment horizontal="center" vertical="center"/>
    </xf>
    <xf borderId="15" fillId="4" fontId="2" numFmtId="10" xfId="0" applyAlignment="1" applyBorder="1" applyFont="1" applyNumberFormat="1">
      <alignment horizontal="center" vertical="center"/>
    </xf>
    <xf borderId="18" fillId="4" fontId="2" numFmtId="10" xfId="0" applyAlignment="1" applyBorder="1" applyFont="1" applyNumberFormat="1">
      <alignment horizontal="center" vertical="center"/>
    </xf>
    <xf borderId="8" fillId="4" fontId="2" numFmtId="10" xfId="0" applyAlignment="1" applyBorder="1" applyFont="1" applyNumberFormat="1">
      <alignment horizontal="center" vertical="center"/>
    </xf>
    <xf borderId="0" fillId="0" fontId="7" numFmtId="0" xfId="0" applyFont="1"/>
    <xf borderId="1" fillId="6" fontId="5" numFmtId="9" xfId="0" applyAlignment="1" applyBorder="1" applyFill="1" applyFont="1" applyNumberFormat="1">
      <alignment horizontal="left" vertical="center"/>
    </xf>
    <xf borderId="1" fillId="7" fontId="2" numFmtId="0" xfId="0" applyAlignment="1" applyBorder="1" applyFill="1" applyFont="1">
      <alignment horizontal="center" vertical="center"/>
    </xf>
    <xf borderId="15" fillId="7" fontId="2" numFmtId="0" xfId="0" applyAlignment="1" applyBorder="1" applyFont="1">
      <alignment horizontal="center" vertical="center"/>
    </xf>
    <xf borderId="18" fillId="7" fontId="2" numFmtId="0" xfId="0" applyAlignment="1" applyBorder="1" applyFont="1">
      <alignment horizontal="center" vertical="center"/>
    </xf>
    <xf borderId="8" fillId="7" fontId="2" numFmtId="0" xfId="0" applyAlignment="1" applyBorder="1" applyFont="1">
      <alignment horizontal="center" vertical="center"/>
    </xf>
    <xf borderId="1" fillId="8" fontId="8" numFmtId="9" xfId="0" applyAlignment="1" applyBorder="1" applyFill="1" applyFont="1" applyNumberFormat="1">
      <alignment horizontal="left" vertical="center"/>
    </xf>
    <xf borderId="1" fillId="8" fontId="8" numFmtId="10" xfId="0" applyAlignment="1" applyBorder="1" applyFont="1" applyNumberFormat="1">
      <alignment horizontal="center" vertical="center"/>
    </xf>
    <xf borderId="15" fillId="8" fontId="8" numFmtId="10" xfId="0" applyAlignment="1" applyBorder="1" applyFont="1" applyNumberFormat="1">
      <alignment horizontal="center" vertical="center"/>
    </xf>
    <xf borderId="18" fillId="8" fontId="8" numFmtId="10" xfId="0" applyAlignment="1" applyBorder="1" applyFont="1" applyNumberFormat="1">
      <alignment horizontal="center" vertical="center"/>
    </xf>
    <xf borderId="8" fillId="8" fontId="8" numFmtId="10" xfId="0" applyAlignment="1" applyBorder="1" applyFont="1" applyNumberFormat="1">
      <alignment horizontal="center" vertical="center"/>
    </xf>
    <xf borderId="1" fillId="9" fontId="9" numFmtId="9" xfId="0" applyAlignment="1" applyBorder="1" applyFill="1" applyFont="1" applyNumberFormat="1">
      <alignment horizontal="left" vertical="center"/>
    </xf>
    <xf borderId="1" fillId="9" fontId="9" numFmtId="10" xfId="0" applyAlignment="1" applyBorder="1" applyFont="1" applyNumberFormat="1">
      <alignment horizontal="center" vertical="center"/>
    </xf>
    <xf borderId="15" fillId="9" fontId="9" numFmtId="10" xfId="0" applyAlignment="1" applyBorder="1" applyFont="1" applyNumberFormat="1">
      <alignment horizontal="center" vertical="center"/>
    </xf>
    <xf borderId="18" fillId="9" fontId="9" numFmtId="10" xfId="0" applyAlignment="1" applyBorder="1" applyFont="1" applyNumberFormat="1">
      <alignment horizontal="center" vertical="center"/>
    </xf>
    <xf borderId="8" fillId="9" fontId="9" numFmtId="10" xfId="0" applyAlignment="1" applyBorder="1" applyFont="1" applyNumberFormat="1">
      <alignment horizontal="center" vertical="center"/>
    </xf>
    <xf borderId="3" fillId="0" fontId="6" numFmtId="0" xfId="0" applyAlignment="1" applyBorder="1" applyFont="1">
      <alignment horizontal="center" vertical="center"/>
    </xf>
    <xf borderId="2" fillId="10" fontId="6" numFmtId="1" xfId="0" applyAlignment="1" applyBorder="1" applyFill="1" applyFont="1" applyNumberFormat="1">
      <alignment horizontal="center" vertical="center"/>
    </xf>
    <xf borderId="18" fillId="10" fontId="6" numFmtId="1" xfId="0" applyAlignment="1" applyBorder="1" applyFont="1" applyNumberFormat="1">
      <alignment horizontal="center" vertical="center"/>
    </xf>
    <xf borderId="11" fillId="10" fontId="6" numFmtId="1" xfId="0" applyAlignment="1" applyBorder="1" applyFont="1" applyNumberFormat="1">
      <alignment horizontal="center" vertical="center"/>
    </xf>
    <xf borderId="8" fillId="10" fontId="6" numFmtId="1" xfId="0" applyAlignment="1" applyBorder="1" applyFont="1" applyNumberFormat="1">
      <alignment horizontal="center" vertical="center"/>
    </xf>
    <xf borderId="1" fillId="11" fontId="2" numFmtId="9" xfId="0" applyAlignment="1" applyBorder="1" applyFill="1" applyFont="1" applyNumberFormat="1">
      <alignment horizontal="left" vertical="center"/>
    </xf>
    <xf borderId="1" fillId="11" fontId="2" numFmtId="10" xfId="0" applyAlignment="1" applyBorder="1" applyFont="1" applyNumberFormat="1">
      <alignment horizontal="center" vertical="center"/>
    </xf>
    <xf borderId="15" fillId="11" fontId="2" numFmtId="10" xfId="0" applyAlignment="1" applyBorder="1" applyFont="1" applyNumberFormat="1">
      <alignment horizontal="center" vertical="center"/>
    </xf>
    <xf borderId="18" fillId="11" fontId="2" numFmtId="10" xfId="0" applyAlignment="1" applyBorder="1" applyFont="1" applyNumberFormat="1">
      <alignment horizontal="center" vertical="center"/>
    </xf>
    <xf borderId="8" fillId="11" fontId="2" numFmtId="10" xfId="0" applyAlignment="1" applyBorder="1" applyFont="1" applyNumberFormat="1">
      <alignment horizontal="center" vertical="center"/>
    </xf>
    <xf borderId="1" fillId="0" fontId="5" numFmtId="1" xfId="0" applyAlignment="1" applyBorder="1" applyFont="1" applyNumberFormat="1">
      <alignment horizontal="center" vertical="center"/>
    </xf>
    <xf borderId="2" fillId="0" fontId="5" numFmtId="1" xfId="0" applyAlignment="1" applyBorder="1" applyFont="1" applyNumberFormat="1">
      <alignment horizontal="center" vertical="center"/>
    </xf>
    <xf borderId="18" fillId="0" fontId="5" numFmtId="1" xfId="0" applyAlignment="1" applyBorder="1" applyFont="1" applyNumberFormat="1">
      <alignment horizontal="center" vertical="center"/>
    </xf>
    <xf borderId="4" fillId="0" fontId="5" numFmtId="1" xfId="0" applyAlignment="1" applyBorder="1" applyFont="1" applyNumberFormat="1">
      <alignment horizontal="center" vertical="center"/>
    </xf>
    <xf borderId="1" fillId="9" fontId="5" numFmtId="9" xfId="0" applyAlignment="1" applyBorder="1" applyFont="1" applyNumberFormat="1">
      <alignment horizontal="left" vertical="center"/>
    </xf>
    <xf borderId="1" fillId="9" fontId="5" numFmtId="1" xfId="0" applyAlignment="1" applyBorder="1" applyFont="1" applyNumberFormat="1">
      <alignment horizontal="center" vertical="center"/>
    </xf>
    <xf borderId="15" fillId="9" fontId="5" numFmtId="1" xfId="0" applyAlignment="1" applyBorder="1" applyFont="1" applyNumberFormat="1">
      <alignment horizontal="center" vertical="center"/>
    </xf>
    <xf borderId="19" fillId="9" fontId="5" numFmtId="1" xfId="0" applyAlignment="1" applyBorder="1" applyFont="1" applyNumberFormat="1">
      <alignment horizontal="center" vertical="center"/>
    </xf>
    <xf borderId="8" fillId="9" fontId="5" numFmtId="1" xfId="0" applyAlignment="1" applyBorder="1" applyFont="1" applyNumberFormat="1">
      <alignment horizontal="center" vertical="center"/>
    </xf>
    <xf borderId="1" fillId="12" fontId="5" numFmtId="0" xfId="0" applyAlignment="1" applyBorder="1" applyFill="1" applyFont="1">
      <alignment horizontal="left" vertical="center"/>
    </xf>
    <xf borderId="2" fillId="12" fontId="5" numFmtId="0" xfId="0" applyAlignment="1" applyBorder="1" applyFont="1">
      <alignment horizontal="center" shrinkToFit="0" vertical="center" wrapText="1"/>
    </xf>
    <xf borderId="1" fillId="13" fontId="5" numFmtId="9" xfId="0" applyAlignment="1" applyBorder="1" applyFill="1" applyFont="1" applyNumberFormat="1">
      <alignment horizontal="left" vertical="center"/>
    </xf>
    <xf borderId="2" fillId="14" fontId="9" numFmtId="0" xfId="0" applyAlignment="1" applyBorder="1" applyFill="1" applyFont="1">
      <alignment horizontal="center" shrinkToFit="0" vertical="center" wrapText="1"/>
    </xf>
    <xf borderId="1" fillId="0" fontId="10" numFmtId="0" xfId="0" applyBorder="1" applyFont="1"/>
    <xf borderId="1" fillId="0" fontId="1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2" numFmtId="0" xfId="0" applyAlignment="1" applyFont="1">
      <alignment horizontal="left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5"/>
    <pageSetUpPr fitToPage="1"/>
  </sheetPr>
  <sheetViews>
    <sheetView showGridLines="0" workbookViewId="0"/>
  </sheetViews>
  <sheetFormatPr customHeight="1" defaultColWidth="12.63" defaultRowHeight="15.0"/>
  <cols>
    <col customWidth="1" min="1" max="1" width="56.38"/>
    <col customWidth="1" min="2" max="3" width="13.0"/>
    <col customWidth="1" min="4" max="6" width="14.63"/>
    <col customWidth="1" min="7" max="10" width="11.13"/>
    <col customWidth="1" min="11" max="11" width="13.75"/>
    <col customWidth="1" min="12" max="12" width="13.0"/>
    <col customWidth="1" min="13" max="13" width="10.25"/>
    <col customWidth="1" min="14" max="14" width="16.5"/>
  </cols>
  <sheetData>
    <row r="1" ht="14.2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7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/>
      <c r="B3" s="7" t="s">
        <v>1</v>
      </c>
      <c r="C3" s="3"/>
      <c r="D3" s="3"/>
      <c r="E3" s="8"/>
      <c r="F3" s="9" t="s">
        <v>2</v>
      </c>
      <c r="G3" s="10"/>
      <c r="H3" s="11"/>
      <c r="I3" s="7" t="s">
        <v>3</v>
      </c>
      <c r="J3" s="8"/>
      <c r="K3" s="9" t="s">
        <v>4</v>
      </c>
      <c r="L3" s="1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3" t="s">
        <v>5</v>
      </c>
      <c r="B4" s="14" t="s">
        <v>6</v>
      </c>
      <c r="C4" s="4"/>
      <c r="D4" s="14" t="s">
        <v>7</v>
      </c>
      <c r="E4" s="8"/>
      <c r="F4" s="15"/>
      <c r="G4" s="16" t="s">
        <v>8</v>
      </c>
      <c r="H4" s="4"/>
      <c r="I4" s="17" t="s">
        <v>9</v>
      </c>
      <c r="J4" s="18"/>
      <c r="K4" s="15"/>
      <c r="L4" s="19" t="s">
        <v>10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3"/>
      <c r="B5" s="13" t="s">
        <v>11</v>
      </c>
      <c r="C5" s="13" t="s">
        <v>12</v>
      </c>
      <c r="D5" s="13" t="s">
        <v>11</v>
      </c>
      <c r="E5" s="20" t="s">
        <v>12</v>
      </c>
      <c r="F5" s="21"/>
      <c r="G5" s="22" t="s">
        <v>11</v>
      </c>
      <c r="H5" s="13" t="s">
        <v>12</v>
      </c>
      <c r="I5" s="13" t="s">
        <v>11</v>
      </c>
      <c r="J5" s="20" t="s">
        <v>12</v>
      </c>
      <c r="K5" s="21"/>
      <c r="L5" s="2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24" t="s">
        <v>13</v>
      </c>
      <c r="B6" s="25"/>
      <c r="C6" s="25"/>
      <c r="D6" s="25"/>
      <c r="E6" s="26"/>
      <c r="F6" s="27">
        <f t="shared" ref="F6:F10" si="1">SUM(B6:E6)</f>
        <v>0</v>
      </c>
      <c r="G6" s="28"/>
      <c r="H6" s="25"/>
      <c r="I6" s="25"/>
      <c r="J6" s="26"/>
      <c r="K6" s="27">
        <f t="shared" ref="K6:K10" si="2">SUM(I6:J6)</f>
        <v>0</v>
      </c>
      <c r="L6" s="28">
        <f t="shared" ref="L6:L10" si="3">SUM(G6:H6)+SUM(J6:K6)</f>
        <v>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4" t="s">
        <v>14</v>
      </c>
      <c r="B7" s="25"/>
      <c r="C7" s="25"/>
      <c r="D7" s="25"/>
      <c r="E7" s="26"/>
      <c r="F7" s="27">
        <f t="shared" si="1"/>
        <v>0</v>
      </c>
      <c r="G7" s="28"/>
      <c r="H7" s="25"/>
      <c r="I7" s="25"/>
      <c r="J7" s="26"/>
      <c r="K7" s="27">
        <f t="shared" si="2"/>
        <v>0</v>
      </c>
      <c r="L7" s="28">
        <f t="shared" si="3"/>
        <v>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24" t="s">
        <v>15</v>
      </c>
      <c r="B8" s="25"/>
      <c r="C8" s="25"/>
      <c r="D8" s="25"/>
      <c r="E8" s="26"/>
      <c r="F8" s="27">
        <f t="shared" si="1"/>
        <v>0</v>
      </c>
      <c r="G8" s="28"/>
      <c r="H8" s="25"/>
      <c r="I8" s="25"/>
      <c r="J8" s="26"/>
      <c r="K8" s="27">
        <f t="shared" si="2"/>
        <v>0</v>
      </c>
      <c r="L8" s="28">
        <f t="shared" si="3"/>
        <v>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24" t="s">
        <v>16</v>
      </c>
      <c r="B9" s="25"/>
      <c r="C9" s="25"/>
      <c r="D9" s="25"/>
      <c r="E9" s="26"/>
      <c r="F9" s="27">
        <f t="shared" si="1"/>
        <v>0</v>
      </c>
      <c r="G9" s="28"/>
      <c r="H9" s="25"/>
      <c r="I9" s="25"/>
      <c r="J9" s="26"/>
      <c r="K9" s="27">
        <f t="shared" si="2"/>
        <v>0</v>
      </c>
      <c r="L9" s="28">
        <f t="shared" si="3"/>
        <v>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24" t="s">
        <v>17</v>
      </c>
      <c r="B10" s="25"/>
      <c r="C10" s="25"/>
      <c r="D10" s="25"/>
      <c r="E10" s="26"/>
      <c r="F10" s="27">
        <f t="shared" si="1"/>
        <v>0</v>
      </c>
      <c r="G10" s="28"/>
      <c r="H10" s="25"/>
      <c r="I10" s="25"/>
      <c r="J10" s="26"/>
      <c r="K10" s="27">
        <f t="shared" si="2"/>
        <v>0</v>
      </c>
      <c r="L10" s="28">
        <f t="shared" si="3"/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29" t="s">
        <v>18</v>
      </c>
      <c r="B11" s="30">
        <f t="shared" ref="B11:L11" si="4">IFERROR((B7+B10)/(B6+B9-B8),0)</f>
        <v>0</v>
      </c>
      <c r="C11" s="30">
        <f t="shared" si="4"/>
        <v>0</v>
      </c>
      <c r="D11" s="30">
        <f t="shared" si="4"/>
        <v>0</v>
      </c>
      <c r="E11" s="31">
        <f t="shared" si="4"/>
        <v>0</v>
      </c>
      <c r="F11" s="32">
        <f t="shared" si="4"/>
        <v>0</v>
      </c>
      <c r="G11" s="33">
        <f t="shared" si="4"/>
        <v>0</v>
      </c>
      <c r="H11" s="30">
        <f t="shared" si="4"/>
        <v>0</v>
      </c>
      <c r="I11" s="30">
        <f t="shared" si="4"/>
        <v>0</v>
      </c>
      <c r="J11" s="31">
        <f t="shared" si="4"/>
        <v>0</v>
      </c>
      <c r="K11" s="32">
        <f t="shared" si="4"/>
        <v>0</v>
      </c>
      <c r="L11" s="33">
        <f t="shared" si="4"/>
        <v>0</v>
      </c>
      <c r="M11" s="3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5" t="s">
        <v>19</v>
      </c>
      <c r="B12" s="25"/>
      <c r="C12" s="25"/>
      <c r="D12" s="25"/>
      <c r="E12" s="26"/>
      <c r="F12" s="27">
        <f t="shared" ref="F12:F14" si="5">SUM(B12:E12)</f>
        <v>0</v>
      </c>
      <c r="G12" s="28"/>
      <c r="H12" s="25"/>
      <c r="I12" s="25"/>
      <c r="J12" s="26"/>
      <c r="K12" s="27">
        <f t="shared" ref="K12:K14" si="6">SUM(I12:J12)</f>
        <v>0</v>
      </c>
      <c r="L12" s="28">
        <f t="shared" ref="L12:L14" si="7">SUM(G12:H12)+SUM(J12:K12)</f>
        <v>0</v>
      </c>
      <c r="M12" s="3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5" t="s">
        <v>20</v>
      </c>
      <c r="B13" s="25"/>
      <c r="C13" s="25"/>
      <c r="D13" s="25"/>
      <c r="E13" s="26"/>
      <c r="F13" s="27">
        <f t="shared" si="5"/>
        <v>0</v>
      </c>
      <c r="G13" s="28"/>
      <c r="H13" s="25"/>
      <c r="I13" s="25"/>
      <c r="J13" s="26"/>
      <c r="K13" s="27">
        <f t="shared" si="6"/>
        <v>0</v>
      </c>
      <c r="L13" s="28">
        <f t="shared" si="7"/>
        <v>0</v>
      </c>
      <c r="M13" s="3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5" t="s">
        <v>21</v>
      </c>
      <c r="B14" s="25"/>
      <c r="C14" s="25"/>
      <c r="D14" s="25"/>
      <c r="E14" s="26"/>
      <c r="F14" s="27">
        <f t="shared" si="5"/>
        <v>0</v>
      </c>
      <c r="G14" s="28"/>
      <c r="H14" s="25"/>
      <c r="I14" s="25"/>
      <c r="J14" s="26"/>
      <c r="K14" s="27">
        <f t="shared" si="6"/>
        <v>0</v>
      </c>
      <c r="L14" s="28">
        <f t="shared" si="7"/>
        <v>0</v>
      </c>
      <c r="M14" s="3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24" t="s">
        <v>22</v>
      </c>
      <c r="B15" s="36">
        <f t="shared" ref="B15:L15" si="8">IFERROR((B6+B9+B13)-B12-B8,0)</f>
        <v>0</v>
      </c>
      <c r="C15" s="36">
        <f t="shared" si="8"/>
        <v>0</v>
      </c>
      <c r="D15" s="36">
        <f t="shared" si="8"/>
        <v>0</v>
      </c>
      <c r="E15" s="37">
        <f t="shared" si="8"/>
        <v>0</v>
      </c>
      <c r="F15" s="38">
        <f t="shared" si="8"/>
        <v>0</v>
      </c>
      <c r="G15" s="39">
        <f t="shared" si="8"/>
        <v>0</v>
      </c>
      <c r="H15" s="36">
        <f t="shared" si="8"/>
        <v>0</v>
      </c>
      <c r="I15" s="36">
        <f t="shared" si="8"/>
        <v>0</v>
      </c>
      <c r="J15" s="37">
        <f t="shared" si="8"/>
        <v>0</v>
      </c>
      <c r="K15" s="38">
        <f t="shared" si="8"/>
        <v>0</v>
      </c>
      <c r="L15" s="39">
        <f t="shared" si="8"/>
        <v>0</v>
      </c>
      <c r="M15" s="3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24" t="s">
        <v>23</v>
      </c>
      <c r="B16" s="36">
        <f t="shared" ref="B16:L16" si="9">IFERROR(B7+B10+B14,0)</f>
        <v>0</v>
      </c>
      <c r="C16" s="36">
        <f t="shared" si="9"/>
        <v>0</v>
      </c>
      <c r="D16" s="36">
        <f t="shared" si="9"/>
        <v>0</v>
      </c>
      <c r="E16" s="37">
        <f t="shared" si="9"/>
        <v>0</v>
      </c>
      <c r="F16" s="38">
        <f t="shared" si="9"/>
        <v>0</v>
      </c>
      <c r="G16" s="39">
        <f t="shared" si="9"/>
        <v>0</v>
      </c>
      <c r="H16" s="36">
        <f t="shared" si="9"/>
        <v>0</v>
      </c>
      <c r="I16" s="36">
        <f t="shared" si="9"/>
        <v>0</v>
      </c>
      <c r="J16" s="37">
        <f t="shared" si="9"/>
        <v>0</v>
      </c>
      <c r="K16" s="38">
        <f t="shared" si="9"/>
        <v>0</v>
      </c>
      <c r="L16" s="39">
        <f t="shared" si="9"/>
        <v>0</v>
      </c>
      <c r="M16" s="3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29" t="s">
        <v>24</v>
      </c>
      <c r="B17" s="30">
        <f t="shared" ref="B17:L17" si="10">IFERROR(B16/B15,0)</f>
        <v>0</v>
      </c>
      <c r="C17" s="30">
        <f t="shared" si="10"/>
        <v>0</v>
      </c>
      <c r="D17" s="30">
        <f t="shared" si="10"/>
        <v>0</v>
      </c>
      <c r="E17" s="31">
        <f t="shared" si="10"/>
        <v>0</v>
      </c>
      <c r="F17" s="32">
        <f t="shared" si="10"/>
        <v>0</v>
      </c>
      <c r="G17" s="33">
        <f t="shared" si="10"/>
        <v>0</v>
      </c>
      <c r="H17" s="30">
        <f t="shared" si="10"/>
        <v>0</v>
      </c>
      <c r="I17" s="30">
        <f t="shared" si="10"/>
        <v>0</v>
      </c>
      <c r="J17" s="31">
        <f t="shared" si="10"/>
        <v>0</v>
      </c>
      <c r="K17" s="32">
        <f t="shared" si="10"/>
        <v>0</v>
      </c>
      <c r="L17" s="33">
        <f t="shared" si="10"/>
        <v>0</v>
      </c>
      <c r="M17" s="3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5" t="s">
        <v>25</v>
      </c>
      <c r="B18" s="25">
        <v>0.0</v>
      </c>
      <c r="C18" s="25">
        <v>0.0</v>
      </c>
      <c r="D18" s="25">
        <v>0.0</v>
      </c>
      <c r="E18" s="26">
        <v>0.0</v>
      </c>
      <c r="F18" s="27">
        <f t="shared" ref="F18:F19" si="11">SUM(B18:E18)</f>
        <v>0</v>
      </c>
      <c r="G18" s="28">
        <v>0.0</v>
      </c>
      <c r="H18" s="25">
        <v>0.0</v>
      </c>
      <c r="I18" s="25">
        <v>0.0</v>
      </c>
      <c r="J18" s="26">
        <v>0.0</v>
      </c>
      <c r="K18" s="27">
        <f t="shared" ref="K18:K19" si="12">SUM(I18:J18)</f>
        <v>0</v>
      </c>
      <c r="L18" s="28">
        <f t="shared" ref="L18:L19" si="13">SUM(G18:H18)+SUM(J18:K18)</f>
        <v>0</v>
      </c>
      <c r="M18" s="3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5" t="s">
        <v>26</v>
      </c>
      <c r="B19" s="25">
        <v>0.0</v>
      </c>
      <c r="C19" s="25">
        <v>0.0</v>
      </c>
      <c r="D19" s="25">
        <v>0.0</v>
      </c>
      <c r="E19" s="26">
        <v>0.0</v>
      </c>
      <c r="F19" s="27">
        <f t="shared" si="11"/>
        <v>0</v>
      </c>
      <c r="G19" s="28">
        <v>0.0</v>
      </c>
      <c r="H19" s="25">
        <v>0.0</v>
      </c>
      <c r="I19" s="25">
        <v>0.0</v>
      </c>
      <c r="J19" s="26">
        <v>0.0</v>
      </c>
      <c r="K19" s="27">
        <f t="shared" si="12"/>
        <v>0</v>
      </c>
      <c r="L19" s="28">
        <f t="shared" si="13"/>
        <v>0</v>
      </c>
      <c r="M19" s="3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9" t="s">
        <v>27</v>
      </c>
      <c r="B20" s="30">
        <f t="shared" ref="B20:L20" si="14">IFERROR(B19/B18,0)</f>
        <v>0</v>
      </c>
      <c r="C20" s="30">
        <f t="shared" si="14"/>
        <v>0</v>
      </c>
      <c r="D20" s="30">
        <f t="shared" si="14"/>
        <v>0</v>
      </c>
      <c r="E20" s="31">
        <f t="shared" si="14"/>
        <v>0</v>
      </c>
      <c r="F20" s="32">
        <f t="shared" si="14"/>
        <v>0</v>
      </c>
      <c r="G20" s="33">
        <f t="shared" si="14"/>
        <v>0</v>
      </c>
      <c r="H20" s="30">
        <f t="shared" si="14"/>
        <v>0</v>
      </c>
      <c r="I20" s="30">
        <f t="shared" si="14"/>
        <v>0</v>
      </c>
      <c r="J20" s="31">
        <f t="shared" si="14"/>
        <v>0</v>
      </c>
      <c r="K20" s="32">
        <f t="shared" si="14"/>
        <v>0</v>
      </c>
      <c r="L20" s="33">
        <f t="shared" si="14"/>
        <v>0</v>
      </c>
      <c r="M20" s="3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40" t="s">
        <v>28</v>
      </c>
      <c r="B21" s="41">
        <f t="shared" ref="B21:L21" si="15">IFERROR((B19+B7+B10+B14)/(B6+B9+B18+B13-B8),0)</f>
        <v>0</v>
      </c>
      <c r="C21" s="41">
        <f t="shared" si="15"/>
        <v>0</v>
      </c>
      <c r="D21" s="41">
        <f t="shared" si="15"/>
        <v>0</v>
      </c>
      <c r="E21" s="42">
        <f t="shared" si="15"/>
        <v>0</v>
      </c>
      <c r="F21" s="43">
        <f t="shared" si="15"/>
        <v>0</v>
      </c>
      <c r="G21" s="44">
        <f t="shared" si="15"/>
        <v>0</v>
      </c>
      <c r="H21" s="41">
        <f t="shared" si="15"/>
        <v>0</v>
      </c>
      <c r="I21" s="41">
        <f t="shared" si="15"/>
        <v>0</v>
      </c>
      <c r="J21" s="42">
        <f t="shared" si="15"/>
        <v>0</v>
      </c>
      <c r="K21" s="43">
        <f t="shared" si="15"/>
        <v>0</v>
      </c>
      <c r="L21" s="44">
        <f t="shared" si="15"/>
        <v>0</v>
      </c>
      <c r="M21" s="3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4" t="s">
        <v>29</v>
      </c>
      <c r="B22" s="25">
        <f t="shared" ref="B22:L22" si="16">IFERROR((B6+B9+B13+B18-B8)-B12,0)</f>
        <v>0</v>
      </c>
      <c r="C22" s="25">
        <f t="shared" si="16"/>
        <v>0</v>
      </c>
      <c r="D22" s="25">
        <f t="shared" si="16"/>
        <v>0</v>
      </c>
      <c r="E22" s="26">
        <f t="shared" si="16"/>
        <v>0</v>
      </c>
      <c r="F22" s="27">
        <f t="shared" si="16"/>
        <v>0</v>
      </c>
      <c r="G22" s="28">
        <f t="shared" si="16"/>
        <v>0</v>
      </c>
      <c r="H22" s="25">
        <f t="shared" si="16"/>
        <v>0</v>
      </c>
      <c r="I22" s="25">
        <f t="shared" si="16"/>
        <v>0</v>
      </c>
      <c r="J22" s="26">
        <f t="shared" si="16"/>
        <v>0</v>
      </c>
      <c r="K22" s="27">
        <f t="shared" si="16"/>
        <v>0</v>
      </c>
      <c r="L22" s="28">
        <f t="shared" si="16"/>
        <v>0</v>
      </c>
      <c r="M22" s="3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24" t="s">
        <v>30</v>
      </c>
      <c r="B23" s="25">
        <f t="shared" ref="B23:L23" si="17">IFERROR(B7+B10+B14+B19,0)</f>
        <v>0</v>
      </c>
      <c r="C23" s="25">
        <f t="shared" si="17"/>
        <v>0</v>
      </c>
      <c r="D23" s="25">
        <f t="shared" si="17"/>
        <v>0</v>
      </c>
      <c r="E23" s="26">
        <f t="shared" si="17"/>
        <v>0</v>
      </c>
      <c r="F23" s="27">
        <f t="shared" si="17"/>
        <v>0</v>
      </c>
      <c r="G23" s="28">
        <f t="shared" si="17"/>
        <v>0</v>
      </c>
      <c r="H23" s="25">
        <f t="shared" si="17"/>
        <v>0</v>
      </c>
      <c r="I23" s="25">
        <f t="shared" si="17"/>
        <v>0</v>
      </c>
      <c r="J23" s="26">
        <f t="shared" si="17"/>
        <v>0</v>
      </c>
      <c r="K23" s="27">
        <f t="shared" si="17"/>
        <v>0</v>
      </c>
      <c r="L23" s="28">
        <f t="shared" si="17"/>
        <v>0</v>
      </c>
      <c r="M23" s="3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45" t="s">
        <v>31</v>
      </c>
      <c r="B24" s="46">
        <f t="shared" ref="B24:L24" si="18">IFERROR(B23/B22,0)</f>
        <v>0</v>
      </c>
      <c r="C24" s="46">
        <f t="shared" si="18"/>
        <v>0</v>
      </c>
      <c r="D24" s="46">
        <f t="shared" si="18"/>
        <v>0</v>
      </c>
      <c r="E24" s="47">
        <f t="shared" si="18"/>
        <v>0</v>
      </c>
      <c r="F24" s="48">
        <f t="shared" si="18"/>
        <v>0</v>
      </c>
      <c r="G24" s="49">
        <f t="shared" si="18"/>
        <v>0</v>
      </c>
      <c r="H24" s="46">
        <f t="shared" si="18"/>
        <v>0</v>
      </c>
      <c r="I24" s="46">
        <f t="shared" si="18"/>
        <v>0</v>
      </c>
      <c r="J24" s="47">
        <f t="shared" si="18"/>
        <v>0</v>
      </c>
      <c r="K24" s="48">
        <f t="shared" si="18"/>
        <v>0</v>
      </c>
      <c r="L24" s="49">
        <f t="shared" si="18"/>
        <v>0</v>
      </c>
      <c r="M24" s="3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5" t="s">
        <v>32</v>
      </c>
      <c r="B25" s="26"/>
      <c r="C25" s="4"/>
      <c r="D25" s="26"/>
      <c r="E25" s="3"/>
      <c r="F25" s="27">
        <f>SUM(B25+D25)</f>
        <v>0</v>
      </c>
      <c r="G25" s="50"/>
      <c r="H25" s="4"/>
      <c r="I25" s="26"/>
      <c r="J25" s="3"/>
      <c r="K25" s="27" t="str">
        <f>I25</f>
        <v/>
      </c>
      <c r="L25" s="28">
        <f>SUM(F25,G25,K25)</f>
        <v>0</v>
      </c>
      <c r="M25" s="3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5" t="s">
        <v>33</v>
      </c>
      <c r="B26" s="51">
        <f>B25/9.3</f>
        <v>0</v>
      </c>
      <c r="C26" s="4"/>
      <c r="D26" s="51">
        <f>D25/9.3</f>
        <v>0</v>
      </c>
      <c r="E26" s="4"/>
      <c r="F26" s="52">
        <f t="shared" ref="F26:G26" si="19">F25/9.3</f>
        <v>0</v>
      </c>
      <c r="G26" s="53">
        <f t="shared" si="19"/>
        <v>0</v>
      </c>
      <c r="H26" s="4"/>
      <c r="I26" s="53">
        <f>I25/9.3</f>
        <v>0</v>
      </c>
      <c r="J26" s="4"/>
      <c r="K26" s="52">
        <f t="shared" ref="K26:L26" si="20">K25/9.3</f>
        <v>0</v>
      </c>
      <c r="L26" s="54">
        <f t="shared" si="20"/>
        <v>0</v>
      </c>
      <c r="M26" s="3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5" t="s">
        <v>34</v>
      </c>
      <c r="B27" s="56">
        <f t="shared" ref="B27:L27" si="21">IFERROR(B23/B26,0)</f>
        <v>0</v>
      </c>
      <c r="C27" s="56">
        <f t="shared" si="21"/>
        <v>0</v>
      </c>
      <c r="D27" s="56">
        <f t="shared" si="21"/>
        <v>0</v>
      </c>
      <c r="E27" s="57">
        <f t="shared" si="21"/>
        <v>0</v>
      </c>
      <c r="F27" s="58">
        <f t="shared" si="21"/>
        <v>0</v>
      </c>
      <c r="G27" s="59">
        <f t="shared" si="21"/>
        <v>0</v>
      </c>
      <c r="H27" s="56">
        <f t="shared" si="21"/>
        <v>0</v>
      </c>
      <c r="I27" s="56">
        <f t="shared" si="21"/>
        <v>0</v>
      </c>
      <c r="J27" s="57">
        <f t="shared" si="21"/>
        <v>0</v>
      </c>
      <c r="K27" s="58">
        <f t="shared" si="21"/>
        <v>0</v>
      </c>
      <c r="L27" s="59">
        <f t="shared" si="21"/>
        <v>0</v>
      </c>
      <c r="M27" s="3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29" t="s">
        <v>35</v>
      </c>
      <c r="B28" s="30"/>
      <c r="C28" s="30"/>
      <c r="D28" s="30"/>
      <c r="E28" s="30"/>
      <c r="F28" s="32" t="str">
        <f>AVERAGE(B28:E28)</f>
        <v>#DIV/0!</v>
      </c>
      <c r="G28" s="30"/>
      <c r="H28" s="30"/>
      <c r="I28" s="30"/>
      <c r="J28" s="30"/>
      <c r="K28" s="32" t="str">
        <f>AVERAGE(I28:J28)</f>
        <v>#DIV/0!</v>
      </c>
      <c r="L28" s="33" t="str">
        <f>AVERAGE(B28:E28,G28,I28:J28)</f>
        <v>#DIV/0!</v>
      </c>
      <c r="M28" s="3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29" t="s">
        <v>36</v>
      </c>
      <c r="B29" s="30">
        <f t="shared" ref="B29:L29" si="22">IFERROR(B24-B28,0)</f>
        <v>0</v>
      </c>
      <c r="C29" s="30">
        <f t="shared" si="22"/>
        <v>0</v>
      </c>
      <c r="D29" s="30">
        <f t="shared" si="22"/>
        <v>0</v>
      </c>
      <c r="E29" s="31">
        <f t="shared" si="22"/>
        <v>0</v>
      </c>
      <c r="F29" s="32">
        <f t="shared" si="22"/>
        <v>0</v>
      </c>
      <c r="G29" s="33">
        <f t="shared" si="22"/>
        <v>0</v>
      </c>
      <c r="H29" s="30">
        <f t="shared" si="22"/>
        <v>0</v>
      </c>
      <c r="I29" s="30">
        <f t="shared" si="22"/>
        <v>0</v>
      </c>
      <c r="J29" s="31">
        <f t="shared" si="22"/>
        <v>0</v>
      </c>
      <c r="K29" s="32">
        <f t="shared" si="22"/>
        <v>0</v>
      </c>
      <c r="L29" s="33">
        <f t="shared" si="22"/>
        <v>0</v>
      </c>
      <c r="M29" s="3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24" t="s">
        <v>37</v>
      </c>
      <c r="B30" s="60">
        <f t="shared" ref="B30:L30" si="23">IFERROR(B23*9.3,0)</f>
        <v>0</v>
      </c>
      <c r="C30" s="60">
        <f t="shared" si="23"/>
        <v>0</v>
      </c>
      <c r="D30" s="60">
        <f t="shared" si="23"/>
        <v>0</v>
      </c>
      <c r="E30" s="61">
        <f t="shared" si="23"/>
        <v>0</v>
      </c>
      <c r="F30" s="62">
        <f t="shared" si="23"/>
        <v>0</v>
      </c>
      <c r="G30" s="63">
        <f t="shared" si="23"/>
        <v>0</v>
      </c>
      <c r="H30" s="60">
        <f t="shared" si="23"/>
        <v>0</v>
      </c>
      <c r="I30" s="60">
        <f t="shared" si="23"/>
        <v>0</v>
      </c>
      <c r="J30" s="61">
        <f t="shared" si="23"/>
        <v>0</v>
      </c>
      <c r="K30" s="62">
        <f t="shared" si="23"/>
        <v>0</v>
      </c>
      <c r="L30" s="63">
        <f t="shared" si="23"/>
        <v>0</v>
      </c>
      <c r="M30" s="3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64" t="s">
        <v>38</v>
      </c>
      <c r="B31" s="65">
        <f t="shared" ref="B31:K31" si="24">IFERROR(B30-B25,0)</f>
        <v>0</v>
      </c>
      <c r="C31" s="65">
        <f t="shared" si="24"/>
        <v>0</v>
      </c>
      <c r="D31" s="65">
        <f t="shared" si="24"/>
        <v>0</v>
      </c>
      <c r="E31" s="66">
        <f t="shared" si="24"/>
        <v>0</v>
      </c>
      <c r="F31" s="67">
        <f t="shared" si="24"/>
        <v>0</v>
      </c>
      <c r="G31" s="68">
        <f t="shared" si="24"/>
        <v>0</v>
      </c>
      <c r="H31" s="65">
        <f t="shared" si="24"/>
        <v>0</v>
      </c>
      <c r="I31" s="65">
        <f t="shared" si="24"/>
        <v>0</v>
      </c>
      <c r="J31" s="66">
        <f t="shared" si="24"/>
        <v>0</v>
      </c>
      <c r="K31" s="67">
        <f t="shared" si="24"/>
        <v>0</v>
      </c>
      <c r="L31" s="68">
        <f>SUM(F31,G31:H31,K31)</f>
        <v>0</v>
      </c>
      <c r="M31" s="3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69" t="s">
        <v>39</v>
      </c>
      <c r="B32" s="70"/>
      <c r="C32" s="3"/>
      <c r="D32" s="3"/>
      <c r="E32" s="3"/>
      <c r="F32" s="3"/>
      <c r="G32" s="3"/>
      <c r="H32" s="3"/>
      <c r="I32" s="3"/>
      <c r="J32" s="3"/>
      <c r="K32" s="3"/>
      <c r="L32" s="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7.75" customHeight="1">
      <c r="A33" s="71" t="s">
        <v>40</v>
      </c>
      <c r="B33" s="72"/>
      <c r="C33" s="3"/>
      <c r="D33" s="3"/>
      <c r="E33" s="3"/>
      <c r="F33" s="3"/>
      <c r="G33" s="3"/>
      <c r="H33" s="3"/>
      <c r="I33" s="3"/>
      <c r="J33" s="3"/>
      <c r="K33" s="3"/>
      <c r="L33" s="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73" t="s">
        <v>41</v>
      </c>
      <c r="B34" s="74">
        <f t="shared" ref="B34:L34" si="25">B22-B23</f>
        <v>0</v>
      </c>
      <c r="C34" s="74">
        <f t="shared" si="25"/>
        <v>0</v>
      </c>
      <c r="D34" s="74">
        <f t="shared" si="25"/>
        <v>0</v>
      </c>
      <c r="E34" s="74">
        <f t="shared" si="25"/>
        <v>0</v>
      </c>
      <c r="F34" s="74">
        <f t="shared" si="25"/>
        <v>0</v>
      </c>
      <c r="G34" s="74">
        <f t="shared" si="25"/>
        <v>0</v>
      </c>
      <c r="H34" s="74">
        <f t="shared" si="25"/>
        <v>0</v>
      </c>
      <c r="I34" s="74">
        <f t="shared" si="25"/>
        <v>0</v>
      </c>
      <c r="J34" s="74">
        <f t="shared" si="25"/>
        <v>0</v>
      </c>
      <c r="K34" s="74">
        <f t="shared" si="25"/>
        <v>0</v>
      </c>
      <c r="L34" s="74">
        <f t="shared" si="25"/>
        <v>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5"/>
      <c r="N53" s="76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5"/>
      <c r="N54" s="76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5"/>
      <c r="N55" s="76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5"/>
      <c r="N56" s="76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5"/>
      <c r="N57" s="76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5"/>
      <c r="N58" s="76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5"/>
      <c r="N59" s="76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5"/>
      <c r="N60" s="76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5"/>
      <c r="N61" s="76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5"/>
      <c r="N62" s="76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5"/>
      <c r="N63" s="76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5"/>
      <c r="N64" s="76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5"/>
      <c r="N65" s="76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5"/>
      <c r="N66" s="76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5"/>
      <c r="N67" s="76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5"/>
      <c r="N68" s="76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5"/>
      <c r="N69" s="76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5"/>
      <c r="N70" s="76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5"/>
      <c r="N71" s="76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5"/>
      <c r="N72" s="76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5"/>
      <c r="N73" s="76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5"/>
      <c r="N74" s="76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5"/>
      <c r="N75" s="76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5"/>
      <c r="N76" s="76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5"/>
      <c r="N77" s="76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5"/>
      <c r="N78" s="76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5"/>
      <c r="N79" s="76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5"/>
      <c r="N80" s="76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5"/>
      <c r="N81" s="76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5"/>
      <c r="N82" s="76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5"/>
      <c r="N83" s="76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5"/>
      <c r="N84" s="76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5"/>
      <c r="N85" s="76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5"/>
      <c r="N86" s="76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5"/>
      <c r="N87" s="76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5"/>
      <c r="N88" s="76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5"/>
      <c r="N89" s="76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5"/>
      <c r="N90" s="76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5"/>
      <c r="N91" s="76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5"/>
      <c r="N92" s="76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5"/>
      <c r="N93" s="76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5"/>
      <c r="N94" s="76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5"/>
      <c r="N95" s="76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5"/>
      <c r="N96" s="76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5"/>
      <c r="N97" s="76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5"/>
      <c r="N98" s="76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5"/>
      <c r="N99" s="76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5"/>
      <c r="N100" s="76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5"/>
      <c r="N101" s="76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5"/>
      <c r="N102" s="76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5"/>
      <c r="N103" s="76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5"/>
      <c r="N104" s="76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5"/>
      <c r="N105" s="76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5"/>
      <c r="N106" s="76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5"/>
      <c r="N107" s="76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5"/>
      <c r="N108" s="76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5"/>
      <c r="N109" s="76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5"/>
      <c r="N110" s="76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5"/>
      <c r="N111" s="76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5"/>
      <c r="N112" s="76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5"/>
      <c r="N113" s="76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5"/>
      <c r="N114" s="76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5"/>
      <c r="N115" s="76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5"/>
      <c r="N116" s="76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5"/>
      <c r="N117" s="76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5"/>
      <c r="N118" s="76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5"/>
      <c r="N119" s="76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5"/>
      <c r="N120" s="76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5"/>
      <c r="N121" s="76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5"/>
      <c r="N122" s="76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5"/>
      <c r="N123" s="76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5"/>
      <c r="N124" s="76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5"/>
      <c r="N125" s="76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5"/>
      <c r="N126" s="76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5"/>
      <c r="N127" s="76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5"/>
      <c r="N128" s="76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5"/>
      <c r="N129" s="76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5"/>
      <c r="N130" s="76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5"/>
      <c r="N131" s="76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5"/>
      <c r="N132" s="76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5"/>
      <c r="N133" s="76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5"/>
      <c r="N134" s="76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5"/>
      <c r="N135" s="76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5"/>
      <c r="N136" s="76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5"/>
      <c r="N137" s="76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5"/>
      <c r="N138" s="76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5"/>
      <c r="N139" s="76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5"/>
      <c r="N140" s="76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5"/>
      <c r="N141" s="76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5"/>
      <c r="N142" s="76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5"/>
      <c r="N143" s="76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5"/>
      <c r="N144" s="76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5"/>
      <c r="N145" s="76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5"/>
      <c r="N146" s="76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5"/>
      <c r="N147" s="76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5"/>
      <c r="N148" s="76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5"/>
      <c r="N149" s="76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5"/>
      <c r="N150" s="76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5"/>
      <c r="N151" s="76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5"/>
      <c r="N152" s="76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5"/>
      <c r="N153" s="76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5"/>
      <c r="N154" s="76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5"/>
      <c r="N155" s="76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5"/>
      <c r="N156" s="76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5"/>
      <c r="N157" s="76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5"/>
      <c r="N158" s="76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5"/>
      <c r="N159" s="76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5"/>
      <c r="N160" s="76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5"/>
      <c r="N161" s="76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5"/>
      <c r="N162" s="76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5"/>
      <c r="N163" s="76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5"/>
      <c r="N164" s="76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5"/>
      <c r="N165" s="76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5"/>
      <c r="N166" s="76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5"/>
      <c r="N167" s="76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5"/>
      <c r="N168" s="76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5"/>
      <c r="N169" s="76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5"/>
      <c r="N170" s="76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5"/>
      <c r="N171" s="76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5"/>
      <c r="N172" s="76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5"/>
      <c r="N173" s="76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5"/>
      <c r="N174" s="76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5"/>
      <c r="N175" s="76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5"/>
      <c r="N176" s="76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5"/>
      <c r="N177" s="76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5"/>
      <c r="N178" s="76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5"/>
      <c r="N179" s="76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5"/>
      <c r="N180" s="76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5"/>
      <c r="N181" s="76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5"/>
      <c r="N182" s="76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5"/>
      <c r="N183" s="76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5"/>
      <c r="N184" s="76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5"/>
      <c r="N185" s="76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5"/>
      <c r="N186" s="76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5"/>
      <c r="N187" s="76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5"/>
      <c r="N188" s="76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5"/>
      <c r="N189" s="76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5"/>
      <c r="N190" s="76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5"/>
      <c r="N191" s="76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5"/>
      <c r="N192" s="76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5"/>
      <c r="N193" s="76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5"/>
      <c r="N194" s="76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5"/>
      <c r="N195" s="76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5"/>
      <c r="N196" s="76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5"/>
      <c r="N197" s="76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5"/>
      <c r="N198" s="76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5"/>
      <c r="N199" s="76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5"/>
      <c r="N200" s="76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5"/>
      <c r="N201" s="76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5"/>
      <c r="N202" s="76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5"/>
      <c r="N203" s="76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5"/>
      <c r="N204" s="76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5"/>
      <c r="N205" s="76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5"/>
      <c r="N206" s="76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5"/>
      <c r="N207" s="76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5"/>
      <c r="N208" s="76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5"/>
      <c r="N209" s="76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5"/>
      <c r="N210" s="76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5"/>
      <c r="N211" s="76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5"/>
      <c r="N212" s="76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5"/>
      <c r="N213" s="76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5"/>
      <c r="N214" s="76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5"/>
      <c r="N215" s="76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5"/>
      <c r="N216" s="76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5"/>
      <c r="N217" s="76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5"/>
      <c r="N218" s="76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5"/>
      <c r="N219" s="76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5"/>
      <c r="N220" s="76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5"/>
      <c r="N221" s="76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5"/>
      <c r="N222" s="76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5"/>
      <c r="N223" s="76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5"/>
      <c r="N224" s="76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5"/>
      <c r="N225" s="76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5"/>
      <c r="N226" s="76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5"/>
      <c r="N227" s="76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5"/>
      <c r="N228" s="76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5"/>
      <c r="N229" s="76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5"/>
      <c r="N230" s="76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5"/>
      <c r="N231" s="76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5"/>
      <c r="N232" s="76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5"/>
      <c r="N233" s="76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5"/>
      <c r="N234" s="76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1">
    <mergeCell ref="K3:K5"/>
    <mergeCell ref="L4:L5"/>
    <mergeCell ref="B1:L1"/>
    <mergeCell ref="B2:L2"/>
    <mergeCell ref="B3:E3"/>
    <mergeCell ref="F3:F5"/>
    <mergeCell ref="I3:J3"/>
    <mergeCell ref="B4:C4"/>
    <mergeCell ref="I4:J4"/>
    <mergeCell ref="G25:H25"/>
    <mergeCell ref="G26:H26"/>
    <mergeCell ref="B32:L32"/>
    <mergeCell ref="B33:L33"/>
    <mergeCell ref="D4:E4"/>
    <mergeCell ref="G4:H4"/>
    <mergeCell ref="B25:C25"/>
    <mergeCell ref="D25:E25"/>
    <mergeCell ref="I25:J25"/>
    <mergeCell ref="B26:C26"/>
    <mergeCell ref="D26:E26"/>
    <mergeCell ref="I26:J26"/>
  </mergeCells>
  <conditionalFormatting sqref="B29:L29">
    <cfRule type="cellIs" dxfId="0" priority="1" operator="greaterThan">
      <formula>0.05</formula>
    </cfRule>
  </conditionalFormatting>
  <conditionalFormatting sqref="B29:L29">
    <cfRule type="cellIs" dxfId="0" priority="2" operator="lessThan">
      <formula>-0.05</formula>
    </cfRule>
  </conditionalFormatting>
  <conditionalFormatting sqref="B29:L29">
    <cfRule type="cellIs" dxfId="1" priority="3" operator="between">
      <formula>0.05</formula>
      <formula>-0.05</formula>
    </cfRule>
  </conditionalFormatting>
  <conditionalFormatting sqref="B29:L29">
    <cfRule type="cellIs" dxfId="0" priority="4" operator="between">
      <formula>0.05</formula>
      <formula>0.05</formula>
    </cfRule>
  </conditionalFormatting>
  <conditionalFormatting sqref="B29:L29">
    <cfRule type="cellIs" dxfId="1" priority="5" operator="between">
      <formula>0.05</formula>
      <formula>0.05</formula>
    </cfRule>
  </conditionalFormatting>
  <printOptions/>
  <pageMargins bottom="0.75" footer="0.0" header="0.0" left="0.7" right="0.7" top="0.75"/>
  <pageSetup orientation="landscape"/>
  <drawing r:id="rId1"/>
</worksheet>
</file>